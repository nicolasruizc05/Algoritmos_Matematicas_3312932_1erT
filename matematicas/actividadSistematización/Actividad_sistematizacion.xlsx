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SO_SENA\Matematicas\actividades\"/>
    </mc:Choice>
  </mc:AlternateContent>
  <xr:revisionPtr revIDLastSave="0" documentId="13_ncr:1_{6E8FC70D-32B0-4C41-B4A5-CAAC21DD54C7}" xr6:coauthVersionLast="47" xr6:coauthVersionMax="47" xr10:uidLastSave="{00000000-0000-0000-0000-000000000000}"/>
  <bookViews>
    <workbookView xWindow="10140" yWindow="0" windowWidth="10455" windowHeight="11025" firstSheet="2" activeTab="2" xr2:uid="{8B88213A-35EA-405C-927C-03A90232C713}"/>
  </bookViews>
  <sheets>
    <sheet name="Masa" sheetId="1" r:id="rId1"/>
    <sheet name="Longitud" sheetId="2" r:id="rId2"/>
    <sheet name="Tiempo" sheetId="5" r:id="rId3"/>
    <sheet name="Temperatura" sheetId="3" r:id="rId4"/>
    <sheet name="byt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C11" i="5"/>
  <c r="E10" i="5"/>
  <c r="C10" i="5"/>
  <c r="E9" i="5"/>
  <c r="D9" i="5"/>
  <c r="D10" i="4"/>
  <c r="C10" i="4"/>
  <c r="E9" i="4"/>
  <c r="C9" i="4"/>
  <c r="E8" i="4"/>
  <c r="D8" i="4"/>
  <c r="D9" i="1"/>
  <c r="E11" i="5"/>
  <c r="D10" i="5"/>
  <c r="C9" i="5"/>
  <c r="E7" i="1"/>
  <c r="C8" i="4"/>
  <c r="E10" i="4"/>
  <c r="D9" i="4"/>
  <c r="D8" i="1"/>
  <c r="D10" i="3"/>
  <c r="E9" i="3"/>
  <c r="C10" i="3"/>
  <c r="E8" i="3"/>
  <c r="C9" i="3"/>
  <c r="D8" i="3"/>
  <c r="E10" i="3"/>
  <c r="D9" i="3"/>
  <c r="C8" i="3"/>
  <c r="C10" i="2"/>
  <c r="D10" i="2"/>
  <c r="E9" i="2"/>
  <c r="E8" i="2"/>
  <c r="D8" i="2"/>
  <c r="E10" i="2"/>
  <c r="D9" i="2"/>
  <c r="C9" i="2"/>
  <c r="C8" i="2"/>
  <c r="E9" i="1"/>
  <c r="C9" i="1"/>
  <c r="E8" i="1"/>
  <c r="C8" i="1"/>
  <c r="D7" i="1"/>
  <c r="C7" i="1"/>
</calcChain>
</file>

<file path=xl/sharedStrings.xml><?xml version="1.0" encoding="utf-8"?>
<sst xmlns="http://schemas.openxmlformats.org/spreadsheetml/2006/main" count="60" uniqueCount="29">
  <si>
    <t>Medidas Unidades de masa</t>
  </si>
  <si>
    <t>g</t>
  </si>
  <si>
    <t>kg</t>
  </si>
  <si>
    <t>lb</t>
  </si>
  <si>
    <t xml:space="preserve">Valor de medida </t>
  </si>
  <si>
    <t>Unidad de medida</t>
  </si>
  <si>
    <t>Medidas Unidades de longitud</t>
  </si>
  <si>
    <t>m</t>
  </si>
  <si>
    <t>km</t>
  </si>
  <si>
    <t>cm</t>
  </si>
  <si>
    <t xml:space="preserve">m </t>
  </si>
  <si>
    <t>C°</t>
  </si>
  <si>
    <t>F°</t>
  </si>
  <si>
    <t>K°</t>
  </si>
  <si>
    <t xml:space="preserve">C° </t>
  </si>
  <si>
    <t>Bytes</t>
  </si>
  <si>
    <t>Megabytes</t>
  </si>
  <si>
    <t>Gigabytes</t>
  </si>
  <si>
    <t>segundo</t>
  </si>
  <si>
    <t>minutos</t>
  </si>
  <si>
    <t>horas</t>
  </si>
  <si>
    <t>Horas</t>
  </si>
  <si>
    <t>Minutos</t>
  </si>
  <si>
    <t>Segundos</t>
  </si>
  <si>
    <t xml:space="preserve">Segundos </t>
  </si>
  <si>
    <t xml:space="preserve">Minutos </t>
  </si>
  <si>
    <t>Medidas Unidades de tiempo</t>
  </si>
  <si>
    <t>Medidas Unidades de Temperatura</t>
  </si>
  <si>
    <t>Medidas Unidades de almacenamiento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</si>
</sst>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8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10AB-1421-4DF4-B3E0-1326B5F3EB09}">
  <dimension ref="B1:E9"/>
  <sheetViews>
    <sheetView workbookViewId="0">
      <selection activeCell="D10" sqref="D10"/>
    </sheetView>
  </sheetViews>
  <sheetFormatPr baseColWidth="10" defaultRowHeight="15" x14ac:dyDescent="0.25"/>
  <cols>
    <col min="2" max="2" width="17.28515625" bestFit="1" customWidth="1"/>
    <col min="3" max="3" width="15.5703125" customWidth="1"/>
  </cols>
  <sheetData>
    <row r="1" spans="2:5" ht="15.75" thickBot="1" x14ac:dyDescent="0.3"/>
    <row r="2" spans="2:5" x14ac:dyDescent="0.25">
      <c r="B2" s="3" t="s">
        <v>5</v>
      </c>
      <c r="C2" s="19" t="s">
        <v>1</v>
      </c>
      <c r="D2" s="19" t="s">
        <v>2</v>
      </c>
      <c r="E2" s="20" t="s">
        <v>3</v>
      </c>
    </row>
    <row r="3" spans="2:5" x14ac:dyDescent="0.25">
      <c r="B3" s="4" t="s">
        <v>4</v>
      </c>
      <c r="C3" s="1">
        <v>1</v>
      </c>
      <c r="D3" s="1">
        <v>1</v>
      </c>
      <c r="E3" s="5">
        <v>1</v>
      </c>
    </row>
    <row r="4" spans="2:5" ht="15.75" thickBot="1" x14ac:dyDescent="0.3">
      <c r="B4" s="11"/>
      <c r="C4" s="12"/>
      <c r="D4" s="12"/>
      <c r="E4" s="13"/>
    </row>
    <row r="5" spans="2:5" ht="15.75" thickBot="1" x14ac:dyDescent="0.3">
      <c r="B5" s="21" t="s">
        <v>0</v>
      </c>
      <c r="C5" s="22"/>
      <c r="D5" s="22"/>
      <c r="E5" s="23"/>
    </row>
    <row r="6" spans="2:5" x14ac:dyDescent="0.25">
      <c r="B6" s="14"/>
      <c r="C6" s="15" t="s">
        <v>1</v>
      </c>
      <c r="D6" s="17" t="s">
        <v>2</v>
      </c>
      <c r="E6" s="18" t="s">
        <v>3</v>
      </c>
    </row>
    <row r="7" spans="2:5" x14ac:dyDescent="0.25">
      <c r="B7" s="6" t="s">
        <v>1</v>
      </c>
      <c r="C7" s="2">
        <f>C3</f>
        <v>1</v>
      </c>
      <c r="D7" s="1">
        <f>C3/1000</f>
        <v>1E-3</v>
      </c>
      <c r="E7" s="5">
        <f>C3/453.592</f>
        <v>2.2046244201837776E-3</v>
      </c>
    </row>
    <row r="8" spans="2:5" x14ac:dyDescent="0.25">
      <c r="B8" s="6" t="s">
        <v>2</v>
      </c>
      <c r="C8" s="2">
        <f>D3*1000</f>
        <v>1000</v>
      </c>
      <c r="D8" s="1">
        <f>D3</f>
        <v>1</v>
      </c>
      <c r="E8" s="5">
        <f>D3*2.204</f>
        <v>2.2040000000000002</v>
      </c>
    </row>
    <row r="9" spans="2:5" ht="15.75" thickBot="1" x14ac:dyDescent="0.3">
      <c r="B9" s="7" t="s">
        <v>3</v>
      </c>
      <c r="C9" s="8">
        <f>E3*453.592</f>
        <v>453.59199999999998</v>
      </c>
      <c r="D9" s="16">
        <f>E3/2.20462</f>
        <v>0.45359290943563974</v>
      </c>
      <c r="E9" s="10">
        <f>E3</f>
        <v>1</v>
      </c>
    </row>
  </sheetData>
  <mergeCells count="1"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7CFB-E297-4E00-AF42-425AA5249A92}">
  <dimension ref="B2:E10"/>
  <sheetViews>
    <sheetView workbookViewId="0">
      <selection activeCell="D10" sqref="D10"/>
    </sheetView>
  </sheetViews>
  <sheetFormatPr baseColWidth="10" defaultRowHeight="15" x14ac:dyDescent="0.25"/>
  <cols>
    <col min="2" max="2" width="17.28515625" bestFit="1" customWidth="1"/>
  </cols>
  <sheetData>
    <row r="2" spans="2:5" ht="15.75" thickBot="1" x14ac:dyDescent="0.3"/>
    <row r="3" spans="2:5" x14ac:dyDescent="0.25">
      <c r="B3" s="3" t="s">
        <v>5</v>
      </c>
      <c r="C3" s="19" t="s">
        <v>7</v>
      </c>
      <c r="D3" s="19" t="s">
        <v>8</v>
      </c>
      <c r="E3" s="20" t="s">
        <v>9</v>
      </c>
    </row>
    <row r="4" spans="2:5" x14ac:dyDescent="0.25">
      <c r="B4" s="4" t="s">
        <v>4</v>
      </c>
      <c r="C4" s="1">
        <v>1000</v>
      </c>
      <c r="D4" s="1">
        <v>1</v>
      </c>
      <c r="E4" s="5">
        <v>1</v>
      </c>
    </row>
    <row r="5" spans="2:5" ht="15.75" thickBot="1" x14ac:dyDescent="0.3">
      <c r="B5" s="11"/>
      <c r="C5" s="12"/>
      <c r="D5" s="12"/>
      <c r="E5" s="13"/>
    </row>
    <row r="6" spans="2:5" ht="15.75" thickBot="1" x14ac:dyDescent="0.3">
      <c r="B6" s="21" t="s">
        <v>6</v>
      </c>
      <c r="C6" s="22"/>
      <c r="D6" s="22"/>
      <c r="E6" s="23"/>
    </row>
    <row r="7" spans="2:5" x14ac:dyDescent="0.25">
      <c r="B7" s="14"/>
      <c r="C7" s="15" t="s">
        <v>10</v>
      </c>
      <c r="D7" s="17" t="s">
        <v>8</v>
      </c>
      <c r="E7" s="18" t="s">
        <v>9</v>
      </c>
    </row>
    <row r="8" spans="2:5" x14ac:dyDescent="0.25">
      <c r="B8" s="6" t="s">
        <v>10</v>
      </c>
      <c r="C8" s="2">
        <f>C4</f>
        <v>1000</v>
      </c>
      <c r="D8" s="1">
        <f>C4/1000</f>
        <v>1</v>
      </c>
      <c r="E8" s="5">
        <f>C4*100</f>
        <v>100000</v>
      </c>
    </row>
    <row r="9" spans="2:5" x14ac:dyDescent="0.25">
      <c r="B9" s="6" t="s">
        <v>8</v>
      </c>
      <c r="C9" s="2">
        <f>D4*1000</f>
        <v>1000</v>
      </c>
      <c r="D9" s="1">
        <f>D4</f>
        <v>1</v>
      </c>
      <c r="E9" s="5">
        <f>E4*100000</f>
        <v>100000</v>
      </c>
    </row>
    <row r="10" spans="2:5" ht="15.75" thickBot="1" x14ac:dyDescent="0.3">
      <c r="B10" s="7" t="s">
        <v>9</v>
      </c>
      <c r="C10" s="8">
        <f>E4/100</f>
        <v>0.01</v>
      </c>
      <c r="D10" s="9">
        <f>E4/100000</f>
        <v>1.0000000000000001E-5</v>
      </c>
      <c r="E10" s="10">
        <f>E4</f>
        <v>1</v>
      </c>
    </row>
  </sheetData>
  <mergeCells count="1">
    <mergeCell ref="B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7B1F-8890-4FF4-8F42-4EBE1CDAD801}">
  <dimension ref="B3:E11"/>
  <sheetViews>
    <sheetView tabSelected="1" topLeftCell="A4" workbookViewId="0">
      <selection activeCell="D11" sqref="D11"/>
    </sheetView>
  </sheetViews>
  <sheetFormatPr baseColWidth="10" defaultRowHeight="15" x14ac:dyDescent="0.25"/>
  <cols>
    <col min="2" max="2" width="17.28515625" bestFit="1" customWidth="1"/>
  </cols>
  <sheetData>
    <row r="3" spans="2:5" ht="15.75" thickBot="1" x14ac:dyDescent="0.3"/>
    <row r="4" spans="2:5" x14ac:dyDescent="0.25">
      <c r="B4" s="3" t="s">
        <v>5</v>
      </c>
      <c r="C4" s="19" t="s">
        <v>18</v>
      </c>
      <c r="D4" s="19" t="s">
        <v>19</v>
      </c>
      <c r="E4" s="20" t="s">
        <v>20</v>
      </c>
    </row>
    <row r="5" spans="2:5" x14ac:dyDescent="0.25">
      <c r="B5" s="4" t="s">
        <v>4</v>
      </c>
      <c r="C5" s="1">
        <v>3600</v>
      </c>
      <c r="D5" s="1">
        <v>60</v>
      </c>
      <c r="E5" s="5">
        <v>1</v>
      </c>
    </row>
    <row r="6" spans="2:5" ht="15.75" thickBot="1" x14ac:dyDescent="0.3">
      <c r="B6" s="11"/>
      <c r="C6" s="12"/>
      <c r="D6" s="12"/>
      <c r="E6" s="13"/>
    </row>
    <row r="7" spans="2:5" ht="15.75" thickBot="1" x14ac:dyDescent="0.3">
      <c r="B7" s="21" t="s">
        <v>26</v>
      </c>
      <c r="C7" s="22"/>
      <c r="D7" s="22"/>
      <c r="E7" s="23"/>
    </row>
    <row r="8" spans="2:5" x14ac:dyDescent="0.25">
      <c r="B8" s="14"/>
      <c r="C8" s="15" t="s">
        <v>23</v>
      </c>
      <c r="D8" s="17" t="s">
        <v>22</v>
      </c>
      <c r="E8" s="18" t="s">
        <v>21</v>
      </c>
    </row>
    <row r="9" spans="2:5" x14ac:dyDescent="0.25">
      <c r="B9" s="6" t="s">
        <v>24</v>
      </c>
      <c r="C9" s="2">
        <f>C5</f>
        <v>3600</v>
      </c>
      <c r="D9" s="1">
        <f>C5/60</f>
        <v>60</v>
      </c>
      <c r="E9" s="5">
        <f>C5/3600</f>
        <v>1</v>
      </c>
    </row>
    <row r="10" spans="2:5" x14ac:dyDescent="0.25">
      <c r="B10" s="6" t="s">
        <v>25</v>
      </c>
      <c r="C10" s="2">
        <f>D5*60</f>
        <v>3600</v>
      </c>
      <c r="D10" s="1">
        <f>D5</f>
        <v>60</v>
      </c>
      <c r="E10" s="5">
        <f>D5/60</f>
        <v>1</v>
      </c>
    </row>
    <row r="11" spans="2:5" ht="15.75" thickBot="1" x14ac:dyDescent="0.3">
      <c r="B11" s="7" t="s">
        <v>21</v>
      </c>
      <c r="C11" s="8">
        <f>E5*3600</f>
        <v>3600</v>
      </c>
      <c r="D11" s="9">
        <f>E5*60</f>
        <v>60</v>
      </c>
      <c r="E11" s="10">
        <f>E5</f>
        <v>1</v>
      </c>
    </row>
  </sheetData>
  <mergeCells count="1">
    <mergeCell ref="B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1527-93CD-4A32-AB34-70D43212DECD}">
  <dimension ref="B2:E10"/>
  <sheetViews>
    <sheetView workbookViewId="0">
      <selection activeCell="D10" sqref="D10"/>
    </sheetView>
  </sheetViews>
  <sheetFormatPr baseColWidth="10" defaultRowHeight="15" x14ac:dyDescent="0.25"/>
  <cols>
    <col min="2" max="2" width="17.28515625" bestFit="1" customWidth="1"/>
  </cols>
  <sheetData>
    <row r="2" spans="2:5" ht="15.75" thickBot="1" x14ac:dyDescent="0.3"/>
    <row r="3" spans="2:5" x14ac:dyDescent="0.25">
      <c r="B3" s="3" t="s">
        <v>5</v>
      </c>
      <c r="C3" s="19" t="s">
        <v>11</v>
      </c>
      <c r="D3" s="19" t="s">
        <v>12</v>
      </c>
      <c r="E3" s="20" t="s">
        <v>13</v>
      </c>
    </row>
    <row r="4" spans="2:5" x14ac:dyDescent="0.25">
      <c r="B4" s="4" t="s">
        <v>4</v>
      </c>
      <c r="C4" s="1">
        <v>20</v>
      </c>
      <c r="D4" s="1">
        <v>68</v>
      </c>
      <c r="E4" s="5">
        <v>293.14999999999998</v>
      </c>
    </row>
    <row r="5" spans="2:5" ht="15.75" thickBot="1" x14ac:dyDescent="0.3">
      <c r="B5" s="11"/>
      <c r="C5" s="12"/>
      <c r="D5" s="12"/>
      <c r="E5" s="13"/>
    </row>
    <row r="6" spans="2:5" ht="15.75" thickBot="1" x14ac:dyDescent="0.3">
      <c r="B6" s="21" t="s">
        <v>27</v>
      </c>
      <c r="C6" s="22"/>
      <c r="D6" s="22"/>
      <c r="E6" s="23"/>
    </row>
    <row r="7" spans="2:5" x14ac:dyDescent="0.25">
      <c r="B7" s="14"/>
      <c r="C7" s="15" t="s">
        <v>14</v>
      </c>
      <c r="D7" s="17" t="s">
        <v>12</v>
      </c>
      <c r="E7" s="18" t="s">
        <v>13</v>
      </c>
    </row>
    <row r="8" spans="2:5" x14ac:dyDescent="0.25">
      <c r="B8" s="6" t="s">
        <v>14</v>
      </c>
      <c r="C8" s="2">
        <f>C4</f>
        <v>20</v>
      </c>
      <c r="D8" s="1">
        <f>C4*1.8+32</f>
        <v>68</v>
      </c>
      <c r="E8" s="5">
        <f>C4+273.15</f>
        <v>293.14999999999998</v>
      </c>
    </row>
    <row r="9" spans="2:5" x14ac:dyDescent="0.25">
      <c r="B9" s="6" t="s">
        <v>12</v>
      </c>
      <c r="C9" s="2">
        <f>(D4-32)*(5/9)</f>
        <v>20</v>
      </c>
      <c r="D9" s="1">
        <f>D4</f>
        <v>68</v>
      </c>
      <c r="E9" s="5">
        <f>(D4+459.67)*(5/9)</f>
        <v>293.15000000000003</v>
      </c>
    </row>
    <row r="10" spans="2:5" ht="15.75" thickBot="1" x14ac:dyDescent="0.3">
      <c r="B10" s="7" t="s">
        <v>13</v>
      </c>
      <c r="C10" s="8">
        <f>E4-273.15</f>
        <v>20</v>
      </c>
      <c r="D10" s="9">
        <f>(E4*(9/5))-459.67</f>
        <v>67.999999999999943</v>
      </c>
      <c r="E10" s="10">
        <f>E4</f>
        <v>293.14999999999998</v>
      </c>
    </row>
  </sheetData>
  <mergeCells count="1">
    <mergeCell ref="B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75AF-ACDD-4D0B-8743-1480BFD3B807}">
  <dimension ref="B2:E10"/>
  <sheetViews>
    <sheetView workbookViewId="0">
      <selection activeCell="D10" sqref="D10"/>
    </sheetView>
  </sheetViews>
  <sheetFormatPr baseColWidth="10" defaultRowHeight="15" x14ac:dyDescent="0.25"/>
  <cols>
    <col min="2" max="2" width="17.28515625" bestFit="1" customWidth="1"/>
    <col min="5" max="5" width="12" bestFit="1" customWidth="1"/>
  </cols>
  <sheetData>
    <row r="2" spans="2:5" ht="15.75" thickBot="1" x14ac:dyDescent="0.3"/>
    <row r="3" spans="2:5" x14ac:dyDescent="0.25">
      <c r="B3" s="3" t="s">
        <v>5</v>
      </c>
      <c r="C3" s="19" t="s">
        <v>15</v>
      </c>
      <c r="D3" s="19" t="s">
        <v>16</v>
      </c>
      <c r="E3" s="20" t="s">
        <v>17</v>
      </c>
    </row>
    <row r="4" spans="2:5" x14ac:dyDescent="0.25">
      <c r="B4" s="4" t="s">
        <v>4</v>
      </c>
      <c r="C4" s="1">
        <v>1</v>
      </c>
      <c r="D4" s="1">
        <v>1</v>
      </c>
      <c r="E4" s="5">
        <v>1</v>
      </c>
    </row>
    <row r="5" spans="2:5" ht="15.75" thickBot="1" x14ac:dyDescent="0.3">
      <c r="B5" s="11"/>
      <c r="C5" s="12"/>
      <c r="D5" s="12"/>
      <c r="E5" s="13"/>
    </row>
    <row r="6" spans="2:5" ht="15.75" thickBot="1" x14ac:dyDescent="0.3">
      <c r="B6" s="21" t="s">
        <v>28</v>
      </c>
      <c r="C6" s="22"/>
      <c r="D6" s="22"/>
      <c r="E6" s="23"/>
    </row>
    <row r="7" spans="2:5" x14ac:dyDescent="0.25">
      <c r="B7" s="14"/>
      <c r="C7" s="15" t="s">
        <v>15</v>
      </c>
      <c r="D7" s="17" t="s">
        <v>16</v>
      </c>
      <c r="E7" s="18" t="s">
        <v>17</v>
      </c>
    </row>
    <row r="8" spans="2:5" x14ac:dyDescent="0.25">
      <c r="B8" s="6" t="s">
        <v>15</v>
      </c>
      <c r="C8" s="2">
        <f>C4</f>
        <v>1</v>
      </c>
      <c r="D8" s="1">
        <f>C4/1000000</f>
        <v>9.9999999999999995E-7</v>
      </c>
      <c r="E8" s="5">
        <f>C4/1000000000</f>
        <v>1.0000000000000001E-9</v>
      </c>
    </row>
    <row r="9" spans="2:5" x14ac:dyDescent="0.25">
      <c r="B9" s="6" t="s">
        <v>16</v>
      </c>
      <c r="C9" s="2">
        <f>D4*1000000</f>
        <v>1000000</v>
      </c>
      <c r="D9" s="1">
        <f>D4</f>
        <v>1</v>
      </c>
      <c r="E9" s="5">
        <f>D4/1000</f>
        <v>1E-3</v>
      </c>
    </row>
    <row r="10" spans="2:5" ht="15.75" thickBot="1" x14ac:dyDescent="0.3">
      <c r="B10" s="7" t="s">
        <v>17</v>
      </c>
      <c r="C10" s="8">
        <f>E4*1000000000</f>
        <v>1000000000</v>
      </c>
      <c r="D10" s="9">
        <f>E4*1000</f>
        <v>1000</v>
      </c>
      <c r="E10" s="10">
        <f>E4</f>
        <v>1</v>
      </c>
    </row>
  </sheetData>
  <mergeCells count="1"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Masa</vt:lpstr>
      <vt:lpstr>Longitud</vt:lpstr>
      <vt:lpstr>Tiempo</vt:lpstr>
      <vt:lpstr>Temperatura</vt:lpstr>
      <vt:lpstr>bytes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MU�OZ PAPAMIJA</dc:creator>
  <cp:lastModifiedBy>Nicolas Ruiz Colorado</cp:lastModifiedBy>
  <dcterms:created xsi:type="dcterms:W3CDTF">2025-12-01T15:07:31Z</dcterms:created>
  <dcterms:modified xsi:type="dcterms:W3CDTF">2025-12-08T03:56:20Z</dcterms:modified>
</cp:coreProperties>
</file>